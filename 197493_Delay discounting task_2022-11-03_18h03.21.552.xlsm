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57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anis\Desktop\Lab in Psychology\6. Delay Discounting Task\data\"/>
    </mc:Choice>
  </mc:AlternateContent>
  <xr:revisionPtr revIDLastSave="0" documentId="8_{59FBC846-ABBC-4BA5-BB9F-09E314E73F3A}" xr6:coauthVersionLast="47" xr6:coauthVersionMax="47" xr10:uidLastSave="{00000000-0000-0000-0000-000000000000}"/>
  <bookViews>
    <workbookView xWindow="-108" yWindow="-108" windowWidth="23256" windowHeight="13176" activeTab="1"/>
  </bookViews>
  <sheets>
    <sheet name="197493_Delay discounting task_2" sheetId="1" r:id="rId1"/>
    <sheet name="Sheet1" sheetId="2" r:id="rId2"/>
  </sheets>
  <calcPr calcId="0"/>
</workbook>
</file>

<file path=xl/calcChain.xml><?xml version="1.0" encoding="utf-8"?>
<calcChain xmlns="http://schemas.openxmlformats.org/spreadsheetml/2006/main">
  <c r="G10" i="2" l="1"/>
  <c r="G8" i="2"/>
  <c r="G7" i="2"/>
  <c r="G4" i="2"/>
  <c r="G2" i="2"/>
  <c r="H5" i="2"/>
  <c r="G5" i="2"/>
  <c r="E3" i="2"/>
  <c r="E7" i="2"/>
  <c r="E6" i="2"/>
  <c r="E4" i="2"/>
  <c r="E5" i="2"/>
  <c r="E8" i="2"/>
  <c r="E2" i="2"/>
</calcChain>
</file>

<file path=xl/sharedStrings.xml><?xml version="1.0" encoding="utf-8"?>
<sst xmlns="http://schemas.openxmlformats.org/spreadsheetml/2006/main" count="61" uniqueCount="27">
  <si>
    <t>reward_today</t>
  </si>
  <si>
    <t>future_reward</t>
  </si>
  <si>
    <t>delay</t>
  </si>
  <si>
    <t>trials.thisRepN</t>
  </si>
  <si>
    <t>trials.thisTrialN</t>
  </si>
  <si>
    <t>trials.thisN</t>
  </si>
  <si>
    <t>trials.thisIndex</t>
  </si>
  <si>
    <t>Fixation.started</t>
  </si>
  <si>
    <t>text.started</t>
  </si>
  <si>
    <t>key_resp.started</t>
  </si>
  <si>
    <t>Fixation.stopped</t>
  </si>
  <si>
    <t>key_resp.keys</t>
  </si>
  <si>
    <t>key_resp.rt</t>
  </si>
  <si>
    <t>participant</t>
  </si>
  <si>
    <t>session</t>
  </si>
  <si>
    <t>date</t>
  </si>
  <si>
    <t>expName</t>
  </si>
  <si>
    <t>psychopyVersion</t>
  </si>
  <si>
    <t>frameRate</t>
  </si>
  <si>
    <t>t</t>
  </si>
  <si>
    <t>2022-11-03_18h03.21.552</t>
  </si>
  <si>
    <t>Delay discounting task</t>
  </si>
  <si>
    <t>2022.2.4</t>
  </si>
  <si>
    <t>l</t>
  </si>
  <si>
    <t>k</t>
  </si>
  <si>
    <t>Average</t>
  </si>
  <si>
    <t>Geomean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</si>
</sst>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0" borderId="0" xfId="0" applyAlignment="1">
      <alignment horizontal="center"/>
    </xf>
    <xf numFmtId="0" fontId="0" fillId="33" borderId="0" xfId="0" applyFill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8"/>
  <sheetViews>
    <sheetView topLeftCell="C1" workbookViewId="0">
      <selection activeCell="I24" sqref="I24"/>
    </sheetView>
  </sheetViews>
  <sheetFormatPr defaultRowHeight="14.4" x14ac:dyDescent="0.3"/>
  <cols>
    <col min="1" max="1" width="13" customWidth="1"/>
    <col min="8" max="8" width="15.33203125" customWidth="1"/>
  </cols>
  <sheetData>
    <row r="1" spans="1:1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3">
      <c r="A2">
        <v>78</v>
      </c>
      <c r="B2">
        <v>80</v>
      </c>
      <c r="C2">
        <v>162</v>
      </c>
      <c r="D2">
        <v>0</v>
      </c>
      <c r="E2">
        <v>0</v>
      </c>
      <c r="F2">
        <v>0</v>
      </c>
      <c r="G2">
        <v>6</v>
      </c>
      <c r="H2">
        <v>21.8752250000252</v>
      </c>
      <c r="I2">
        <v>22.730959500011501</v>
      </c>
      <c r="J2">
        <v>22.730959500011501</v>
      </c>
      <c r="K2">
        <v>22.8776927000144</v>
      </c>
      <c r="L2" t="s">
        <v>19</v>
      </c>
      <c r="M2">
        <v>2.7223626000341001</v>
      </c>
      <c r="N2">
        <v>197493</v>
      </c>
      <c r="O2">
        <v>1</v>
      </c>
      <c r="P2" t="s">
        <v>20</v>
      </c>
      <c r="Q2" t="s">
        <v>21</v>
      </c>
      <c r="R2" t="s">
        <v>22</v>
      </c>
      <c r="S2">
        <v>60.051476125808499</v>
      </c>
    </row>
    <row r="3" spans="1:19" x14ac:dyDescent="0.3">
      <c r="A3">
        <v>67</v>
      </c>
      <c r="B3">
        <v>75</v>
      </c>
      <c r="C3">
        <v>119</v>
      </c>
      <c r="D3">
        <v>0</v>
      </c>
      <c r="E3">
        <v>1</v>
      </c>
      <c r="F3">
        <v>1</v>
      </c>
      <c r="G3">
        <v>5</v>
      </c>
      <c r="H3">
        <v>25.505390000005701</v>
      </c>
      <c r="I3">
        <v>26.471341800002801</v>
      </c>
      <c r="J3">
        <v>26.471341800002801</v>
      </c>
      <c r="K3">
        <v>26.5045988999772</v>
      </c>
      <c r="L3" t="s">
        <v>23</v>
      </c>
      <c r="M3">
        <v>1.0129348000045799</v>
      </c>
      <c r="N3">
        <v>197493</v>
      </c>
      <c r="O3">
        <v>1</v>
      </c>
      <c r="P3" t="s">
        <v>20</v>
      </c>
      <c r="Q3" t="s">
        <v>21</v>
      </c>
      <c r="R3" t="s">
        <v>22</v>
      </c>
      <c r="S3">
        <v>60.051476125808499</v>
      </c>
    </row>
    <row r="4" spans="1:19" x14ac:dyDescent="0.3">
      <c r="A4">
        <v>15</v>
      </c>
      <c r="B4">
        <v>35</v>
      </c>
      <c r="C4">
        <v>13</v>
      </c>
      <c r="D4">
        <v>0</v>
      </c>
      <c r="E4">
        <v>2</v>
      </c>
      <c r="F4">
        <v>2</v>
      </c>
      <c r="G4">
        <v>1</v>
      </c>
      <c r="H4">
        <v>27.520832800015299</v>
      </c>
      <c r="I4">
        <v>28.5034625999978</v>
      </c>
      <c r="J4">
        <v>28.5034625999978</v>
      </c>
      <c r="K4">
        <v>28.520271299988899</v>
      </c>
      <c r="L4" t="s">
        <v>19</v>
      </c>
      <c r="M4">
        <v>0.98476760002085895</v>
      </c>
      <c r="N4">
        <v>197493</v>
      </c>
      <c r="O4">
        <v>1</v>
      </c>
      <c r="P4" t="s">
        <v>20</v>
      </c>
      <c r="Q4" t="s">
        <v>21</v>
      </c>
      <c r="R4" t="s">
        <v>22</v>
      </c>
      <c r="S4">
        <v>60.051476125808499</v>
      </c>
    </row>
    <row r="5" spans="1:19" x14ac:dyDescent="0.3">
      <c r="A5">
        <v>27</v>
      </c>
      <c r="B5">
        <v>50</v>
      </c>
      <c r="C5">
        <v>21</v>
      </c>
      <c r="D5">
        <v>0</v>
      </c>
      <c r="E5">
        <v>3</v>
      </c>
      <c r="F5">
        <v>3</v>
      </c>
      <c r="G5">
        <v>2</v>
      </c>
      <c r="H5">
        <v>29.522784199973099</v>
      </c>
      <c r="I5">
        <v>30.506465599988498</v>
      </c>
      <c r="J5">
        <v>30.506465599988498</v>
      </c>
      <c r="K5">
        <v>30.523491300002199</v>
      </c>
      <c r="L5" t="s">
        <v>23</v>
      </c>
      <c r="M5">
        <v>0.54136410000501201</v>
      </c>
      <c r="N5">
        <v>197493</v>
      </c>
      <c r="O5">
        <v>1</v>
      </c>
      <c r="P5" t="s">
        <v>20</v>
      </c>
      <c r="Q5" t="s">
        <v>21</v>
      </c>
      <c r="R5" t="s">
        <v>22</v>
      </c>
      <c r="S5">
        <v>60.051476125808499</v>
      </c>
    </row>
    <row r="6" spans="1:19" x14ac:dyDescent="0.3">
      <c r="A6">
        <v>49</v>
      </c>
      <c r="B6">
        <v>60</v>
      </c>
      <c r="C6">
        <v>89</v>
      </c>
      <c r="D6">
        <v>0</v>
      </c>
      <c r="E6">
        <v>4</v>
      </c>
      <c r="F6">
        <v>4</v>
      </c>
      <c r="G6">
        <v>4</v>
      </c>
      <c r="H6">
        <v>31.0859330000239</v>
      </c>
      <c r="I6">
        <v>32.068174900021397</v>
      </c>
      <c r="J6">
        <v>32.068174900021397</v>
      </c>
      <c r="K6">
        <v>32.101547600002903</v>
      </c>
      <c r="L6" t="s">
        <v>23</v>
      </c>
      <c r="M6">
        <v>0.24699539999710299</v>
      </c>
      <c r="N6">
        <v>197493</v>
      </c>
      <c r="O6">
        <v>1</v>
      </c>
      <c r="P6" t="s">
        <v>20</v>
      </c>
      <c r="Q6" t="s">
        <v>21</v>
      </c>
      <c r="R6" t="s">
        <v>22</v>
      </c>
      <c r="S6">
        <v>60.051476125808499</v>
      </c>
    </row>
    <row r="7" spans="1:19" x14ac:dyDescent="0.3">
      <c r="A7">
        <v>40</v>
      </c>
      <c r="B7">
        <v>55</v>
      </c>
      <c r="C7">
        <v>62</v>
      </c>
      <c r="D7">
        <v>0</v>
      </c>
      <c r="E7">
        <v>5</v>
      </c>
      <c r="F7">
        <v>5</v>
      </c>
      <c r="G7">
        <v>3</v>
      </c>
      <c r="H7">
        <v>32.336293899978003</v>
      </c>
      <c r="I7">
        <v>33.321736300014798</v>
      </c>
      <c r="J7">
        <v>33.321736300014798</v>
      </c>
      <c r="K7">
        <v>33.338284700002902</v>
      </c>
      <c r="L7" t="s">
        <v>19</v>
      </c>
      <c r="M7">
        <v>0.23448109999298999</v>
      </c>
      <c r="N7">
        <v>197493</v>
      </c>
      <c r="O7">
        <v>1</v>
      </c>
      <c r="P7" t="s">
        <v>20</v>
      </c>
      <c r="Q7" t="s">
        <v>21</v>
      </c>
      <c r="R7" t="s">
        <v>22</v>
      </c>
      <c r="S7">
        <v>60.051476125808499</v>
      </c>
    </row>
    <row r="8" spans="1:19" x14ac:dyDescent="0.3">
      <c r="A8">
        <v>11</v>
      </c>
      <c r="B8">
        <v>30</v>
      </c>
      <c r="C8">
        <v>7</v>
      </c>
      <c r="D8">
        <v>0</v>
      </c>
      <c r="E8">
        <v>6</v>
      </c>
      <c r="F8">
        <v>6</v>
      </c>
      <c r="G8">
        <v>0</v>
      </c>
      <c r="H8">
        <v>33.600687100028097</v>
      </c>
      <c r="I8">
        <v>34.583667700004298</v>
      </c>
      <c r="J8">
        <v>34.583667700004298</v>
      </c>
      <c r="K8">
        <v>34.600167699973099</v>
      </c>
      <c r="L8" t="s">
        <v>23</v>
      </c>
      <c r="M8">
        <v>0.247611699975095</v>
      </c>
      <c r="N8">
        <v>197493</v>
      </c>
      <c r="O8">
        <v>1</v>
      </c>
      <c r="P8" t="s">
        <v>20</v>
      </c>
      <c r="Q8" t="s">
        <v>21</v>
      </c>
      <c r="R8" t="s">
        <v>22</v>
      </c>
      <c r="S8">
        <v>60.051476125808499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"/>
  <sheetViews>
    <sheetView tabSelected="1" zoomScale="99" workbookViewId="0">
      <selection activeCell="J23" sqref="J23"/>
    </sheetView>
  </sheetViews>
  <sheetFormatPr defaultRowHeight="14.4" x14ac:dyDescent="0.3"/>
  <cols>
    <col min="1" max="1" width="13" style="1" customWidth="1"/>
    <col min="2" max="2" width="12.109375" style="1" customWidth="1"/>
    <col min="3" max="3" width="8.88671875" style="1"/>
    <col min="4" max="4" width="12.77734375" style="1" customWidth="1"/>
    <col min="5" max="5" width="18.33203125" style="1" customWidth="1"/>
    <col min="6" max="16384" width="8.88671875" style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11</v>
      </c>
      <c r="E1" s="1" t="s">
        <v>24</v>
      </c>
      <c r="G1" s="1" t="s">
        <v>26</v>
      </c>
    </row>
    <row r="2" spans="1:8" x14ac:dyDescent="0.3">
      <c r="A2" s="1">
        <v>78</v>
      </c>
      <c r="B2" s="1">
        <v>80</v>
      </c>
      <c r="C2" s="1">
        <v>162</v>
      </c>
      <c r="D2" s="1" t="s">
        <v>19</v>
      </c>
      <c r="E2" s="1">
        <f>((B2/A2) - 1)/C2</f>
        <v>1.5827793605571326E-4</v>
      </c>
      <c r="G2" s="1">
        <f>GEOMEAN(E2:E3)</f>
        <v>3.9851465855079618E-4</v>
      </c>
    </row>
    <row r="3" spans="1:8" x14ac:dyDescent="0.3">
      <c r="A3" s="1">
        <v>67</v>
      </c>
      <c r="B3" s="1">
        <v>75</v>
      </c>
      <c r="C3" s="1">
        <v>119</v>
      </c>
      <c r="D3" s="1" t="s">
        <v>23</v>
      </c>
      <c r="E3" s="1">
        <f>((B3/A3) - 1)/C3</f>
        <v>1.0033864291985443E-3</v>
      </c>
    </row>
    <row r="4" spans="1:8" x14ac:dyDescent="0.3">
      <c r="A4" s="1">
        <v>49</v>
      </c>
      <c r="B4" s="1">
        <v>60</v>
      </c>
      <c r="C4" s="1">
        <v>89</v>
      </c>
      <c r="D4" s="1" t="s">
        <v>23</v>
      </c>
      <c r="E4" s="1">
        <f>((B4/A4) - 1)/C4</f>
        <v>2.522357257509746E-3</v>
      </c>
      <c r="G4" s="1">
        <f>GEOMEAN(E4:E5)</f>
        <v>3.9059177013573507E-3</v>
      </c>
    </row>
    <row r="5" spans="1:8" x14ac:dyDescent="0.3">
      <c r="A5" s="1">
        <v>40</v>
      </c>
      <c r="B5" s="1">
        <v>55</v>
      </c>
      <c r="C5" s="1">
        <v>62</v>
      </c>
      <c r="D5" s="1" t="s">
        <v>19</v>
      </c>
      <c r="E5" s="1">
        <f>((B5/A5) - 1)/C5</f>
        <v>6.0483870967741934E-3</v>
      </c>
      <c r="G5" s="1">
        <f>GEOMEAN(E5:E6)</f>
        <v>1.5663621409866119E-2</v>
      </c>
      <c r="H5" s="1">
        <f>SQRT(E6*E5)</f>
        <v>1.5663621409866119E-2</v>
      </c>
    </row>
    <row r="6" spans="1:8" x14ac:dyDescent="0.3">
      <c r="A6" s="1">
        <v>27</v>
      </c>
      <c r="B6" s="1">
        <v>50</v>
      </c>
      <c r="C6" s="1">
        <v>21</v>
      </c>
      <c r="D6" s="1" t="s">
        <v>23</v>
      </c>
      <c r="E6" s="1">
        <f>((B6/A6) - 1)/C6</f>
        <v>4.0564373897707229E-2</v>
      </c>
    </row>
    <row r="7" spans="1:8" x14ac:dyDescent="0.3">
      <c r="A7" s="1">
        <v>15</v>
      </c>
      <c r="B7" s="1">
        <v>35</v>
      </c>
      <c r="C7" s="1">
        <v>13</v>
      </c>
      <c r="D7" s="1" t="s">
        <v>19</v>
      </c>
      <c r="E7" s="1">
        <f>((B7/A7) - 1)/C7</f>
        <v>0.10256410256410257</v>
      </c>
      <c r="G7" s="1">
        <f>GEOMEAN(E6:E7)</f>
        <v>6.4501539554440476E-2</v>
      </c>
    </row>
    <row r="8" spans="1:8" x14ac:dyDescent="0.3">
      <c r="A8" s="1">
        <v>11</v>
      </c>
      <c r="B8" s="1">
        <v>30</v>
      </c>
      <c r="C8" s="1">
        <v>7</v>
      </c>
      <c r="D8" s="1" t="s">
        <v>23</v>
      </c>
      <c r="E8" s="1">
        <f>((B8/A8) - 1)/C8</f>
        <v>0.24675324675324672</v>
      </c>
      <c r="G8" s="1">
        <f>GEOMEAN(E7:E8)</f>
        <v>0.15908496254525539</v>
      </c>
    </row>
    <row r="10" spans="1:8" x14ac:dyDescent="0.3">
      <c r="F10" s="2" t="s">
        <v>25</v>
      </c>
      <c r="G10" s="2">
        <f>AVERAGE(G2,G4,G5,G7,G8)</f>
        <v>4.8710911173894027E-2</v>
      </c>
    </row>
  </sheetData>
  <sortState xmlns:xlrd2="http://schemas.microsoft.com/office/spreadsheetml/2017/richdata2" ref="A2:E9">
    <sortCondition ref="E1:E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197493_Delay discounting task_2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Kanishkaa Suri</dc:creator>
  <cp:lastModifiedBy>Kanishkaa Suri</cp:lastModifiedBy>
  <dcterms:modified xsi:type="dcterms:W3CDTF">2022-11-03T16:49:21Z</dcterms:modified>
</cp:coreProperties>
</file>